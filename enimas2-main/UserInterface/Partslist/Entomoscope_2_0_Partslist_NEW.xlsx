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S3209\bwSyncShare\04_Entomoscope\Entomoscope_3_0\02_Parts_List\"/>
    </mc:Choice>
  </mc:AlternateContent>
  <xr:revisionPtr revIDLastSave="0" documentId="13_ncr:1_{1F9EA37F-7427-441D-AA7A-4D64E379414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tomoscope 3.0 Parts" sheetId="1" r:id="rId1"/>
    <sheet name="Fasten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2" i="1" l="1"/>
  <c r="I46" i="1"/>
  <c r="I45" i="1"/>
  <c r="I38" i="1"/>
  <c r="I18" i="1"/>
  <c r="I17" i="1"/>
  <c r="I16" i="1"/>
  <c r="I15" i="1"/>
  <c r="I2" i="1"/>
  <c r="I48" i="1" l="1"/>
  <c r="I30" i="1"/>
  <c r="I5" i="1"/>
  <c r="I6" i="1"/>
  <c r="I13" i="1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B23" i="2"/>
  <c r="I7" i="1"/>
  <c r="I53" i="1"/>
  <c r="I25" i="1"/>
  <c r="I3" i="1"/>
  <c r="I4" i="1"/>
  <c r="I39" i="1"/>
  <c r="I52" i="1"/>
  <c r="I29" i="1"/>
  <c r="I10" i="1" l="1"/>
  <c r="F9" i="1"/>
  <c r="I9" i="1" s="1"/>
  <c r="I40" i="1"/>
  <c r="I32" i="1" l="1"/>
  <c r="I33" i="1"/>
  <c r="I34" i="1"/>
  <c r="I8" i="1"/>
  <c r="I11" i="1"/>
  <c r="I27" i="1"/>
  <c r="I28" i="1"/>
  <c r="I31" i="1"/>
  <c r="I35" i="1"/>
  <c r="I36" i="1"/>
  <c r="I37" i="1"/>
  <c r="I41" i="1"/>
  <c r="I43" i="1"/>
  <c r="I20" i="1"/>
  <c r="I21" i="1"/>
  <c r="I22" i="1"/>
  <c r="I26" i="1"/>
  <c r="I23" i="1"/>
  <c r="I24" i="1"/>
  <c r="I12" i="1"/>
  <c r="I14" i="1"/>
  <c r="I19" i="1"/>
  <c r="I44" i="1"/>
  <c r="I47" i="1"/>
  <c r="I49" i="1"/>
  <c r="I50" i="1"/>
  <c r="I51" i="1"/>
  <c r="I55" i="1" l="1"/>
</calcChain>
</file>

<file path=xl/sharedStrings.xml><?xml version="1.0" encoding="utf-8"?>
<sst xmlns="http://schemas.openxmlformats.org/spreadsheetml/2006/main" count="267" uniqueCount="164">
  <si>
    <t>Category</t>
  </si>
  <si>
    <t>Part</t>
  </si>
  <si>
    <t>Link</t>
  </si>
  <si>
    <t>Price/unit</t>
  </si>
  <si>
    <t>Total</t>
  </si>
  <si>
    <t>Estimated Filament use (for 3D-printed parts only) [g]</t>
  </si>
  <si>
    <t>Estimated printing time (for 3D-printed parts only)</t>
  </si>
  <si>
    <t>Linear_Rail_Base</t>
  </si>
  <si>
    <t>Linear_Rail_Top</t>
  </si>
  <si>
    <t>Linear_Rod_Clamp</t>
  </si>
  <si>
    <t>KFL08</t>
  </si>
  <si>
    <t>https://www.roboter-bausatz.de/p/5-mm-auf-8-mm-klauenkupplung-wellenkupplung-d20l25</t>
  </si>
  <si>
    <t>Base_Assembly</t>
  </si>
  <si>
    <t>Description</t>
  </si>
  <si>
    <t>https://www.reichelt.de/de/de/shop/produkt/usb_3_0_4-port_hub_4xa_usb-a-kabel_120_cm-346300</t>
  </si>
  <si>
    <t>Axagon 4 Port</t>
  </si>
  <si>
    <t>LED_Dimmer</t>
  </si>
  <si>
    <t>USB_Hub</t>
  </si>
  <si>
    <t>https://www.roboter-bausatz.de/p/led-dimmer-spannungswandler-modul-dc-3-7-24v</t>
  </si>
  <si>
    <t>LED Dimmer DC 3.7 - 24V</t>
  </si>
  <si>
    <t>3D Printed</t>
  </si>
  <si>
    <t>Purchased</t>
  </si>
  <si>
    <t>300x8mm</t>
  </si>
  <si>
    <t>350x8mm</t>
  </si>
  <si>
    <t>Linear_Rod</t>
  </si>
  <si>
    <t>Threaded_Rod_T8x8</t>
  </si>
  <si>
    <t>Base</t>
  </si>
  <si>
    <t>https://www.roboter-bausatz.de/p/kfl08-stehlager-mit-flansch-2-stueck</t>
  </si>
  <si>
    <t>Linear_Assembly</t>
  </si>
  <si>
    <t>Linear_Carriage_Assembly</t>
  </si>
  <si>
    <t>Options</t>
  </si>
  <si>
    <t>Linear_Bearing</t>
  </si>
  <si>
    <r>
      <t xml:space="preserve">8mm Bearing with Flange </t>
    </r>
    <r>
      <rPr>
        <b/>
        <sz val="11"/>
        <color theme="1"/>
        <rFont val="Calibri"/>
        <family val="2"/>
        <scheme val="minor"/>
      </rPr>
      <t>2 PACK</t>
    </r>
  </si>
  <si>
    <t>Stepper_Motor</t>
  </si>
  <si>
    <t>5-8mm_Shaft_Coupler</t>
  </si>
  <si>
    <t>https://www.roboter-bausatz.de/p/flexible-wellenkupplung-5mm-auf-8mm</t>
  </si>
  <si>
    <t>Flexible Coupler</t>
  </si>
  <si>
    <t>Claw Coupler D20L25</t>
  </si>
  <si>
    <t>12V_DC_Fan</t>
  </si>
  <si>
    <t>40x40mm for 3D Printer Hot End</t>
  </si>
  <si>
    <t>https://www.roboter-bausatz.de/p/12v-luefter-40-40-10mm-fuer-extruder-hot-end</t>
  </si>
  <si>
    <t>https://www.conrad.de/de/p/sunon-ha40101v4-1000u-a99-axialluefter-12-v-dc-9-2-m-h-l-x-b-x-h-40-x-40-x-10-mm-1719608.html</t>
  </si>
  <si>
    <t>40x40mm Sunon HA40101V4-1000U-A99</t>
  </si>
  <si>
    <t>Power_Supply_Socket</t>
  </si>
  <si>
    <t>Camera_Carriage</t>
  </si>
  <si>
    <t>Lighting_Assembly</t>
  </si>
  <si>
    <t>Lighting_Base</t>
  </si>
  <si>
    <t>Lighting_Lid</t>
  </si>
  <si>
    <t>Diffusor_Plate</t>
  </si>
  <si>
    <t>Manufactured</t>
  </si>
  <si>
    <t>https://www.conrad.de/de/p/cliff-dc-13a-niedervolt-steckverbinder-buchse-einbau-horizontal-5-5-mm-2-1-mm-1-st-735766.html?refresh=true</t>
  </si>
  <si>
    <t>https://www.roboter-bausatz.de/p/uno-cnc-shield-v3-kompatibel-mit-arduino-uno</t>
  </si>
  <si>
    <t>CNC Shield V3 Arduino UNO</t>
  </si>
  <si>
    <t>https://www.roboter-bausatz.de/p/uno-r3-atmega328p-atmega16u2-board-arduino-kompatibel</t>
  </si>
  <si>
    <t>UNO R3 ATMEGA328P Board Arduino kompatibel</t>
  </si>
  <si>
    <t>Power_Switch</t>
  </si>
  <si>
    <t>https://www.conrad.de/de/p/tru-components-wippschalter-tc-r13-242b2-12-v-dc-25-a-1-x-aus-ein-rastend-1-st-1588028.html</t>
  </si>
  <si>
    <t>TC-R13-242B2 12 V/DC 25 A</t>
  </si>
  <si>
    <t>Reference_Switch</t>
  </si>
  <si>
    <t>https://www.reichelt.de/de/de/shop/produkt/mikroschalter_250_v_5a_1_wechsler_flachhebel-375529</t>
  </si>
  <si>
    <t>https://www.conrad.de/de/p/tru-components-tc-9122112-mikroschalter-250-v-ac-5-a-1-x-ein-ein-tastend-1-st-2280528.html</t>
  </si>
  <si>
    <t>https://www.roboter-bausatz.de/p/1-meter-schleppkette-zur-kabelfuehrung-7x7mm</t>
  </si>
  <si>
    <t>Energy_Chain</t>
  </si>
  <si>
    <t>Dimmer_Button</t>
  </si>
  <si>
    <t>https://www.roboter-bausatz.de/p/t8x8-anti-backlash-gefederte-messingmutter-fuer-z-achse</t>
  </si>
  <si>
    <t>Shaft_Nut_Anti_Backlash</t>
  </si>
  <si>
    <t>T8x8 Shaft Nut with Anti Backlash</t>
  </si>
  <si>
    <t>https://www.roboter-bausatz.de/p/sortiment-potentiometer-knoepfe-30-stueck</t>
  </si>
  <si>
    <r>
      <t xml:space="preserve">Potentiometer Knobs </t>
    </r>
    <r>
      <rPr>
        <b/>
        <sz val="11"/>
        <color theme="1"/>
        <rFont val="Calibri"/>
        <family val="2"/>
        <scheme val="minor"/>
      </rPr>
      <t>30 PACK</t>
    </r>
  </si>
  <si>
    <t>USB-Cable</t>
  </si>
  <si>
    <t>TBD</t>
  </si>
  <si>
    <t>Wago_221_2</t>
  </si>
  <si>
    <t>Wago 221 Splicing Connector, 1 Conductor</t>
  </si>
  <si>
    <t>https://www.conrad.de/de/p/wago-221-2411-verbindungsklemme-flexibel-0-14-4-mm-starr-0-2-4-mm-polzahl-1-1-st-transparent-orange-2355190.html</t>
  </si>
  <si>
    <t>Wago_221_5</t>
  </si>
  <si>
    <t>Wago 221 Splicing Connector, 5 Conductor</t>
  </si>
  <si>
    <t>https://www.conrad.de/de/p/wago-221-415-1-221-verbindungsklemme-flexibel-0-14-4-mm-starr-0-2-4-mm-polzahl-5-1-st-transparent-orange-1188438.html</t>
  </si>
  <si>
    <t>https://www.igus.de/product/series-E04?artnr=E04.07.038.0</t>
  </si>
  <si>
    <t>Igus E04 7x7mm inner diameter, open</t>
  </si>
  <si>
    <t>1m, 7x7mm inner diameter, closed</t>
  </si>
  <si>
    <t>LED_Strip</t>
  </si>
  <si>
    <t>https://de.rs-online.com/web/p/led-streifen-led-bander/8904408</t>
  </si>
  <si>
    <t>LED Strip 5mx8mm, 12VDC</t>
  </si>
  <si>
    <t>https://www.roboter-bausatz.de/p/extruder-lueftergitter-40x40-mm?number=RBS10717</t>
  </si>
  <si>
    <t>Fan_Cover</t>
  </si>
  <si>
    <t>40x40mm Fan Cover</t>
  </si>
  <si>
    <t>Power_Supply</t>
  </si>
  <si>
    <t>https://www.roboter-bausatz.de/p/yourdroid-netzteil-12v-3a-5-5x2-1mm-dc-stecker</t>
  </si>
  <si>
    <t>12VDC, 3A, 5.5x2.1mm</t>
  </si>
  <si>
    <t>https://www.conrad.de/de/p/dehner-elektronik-saw-30-120-2000g-steckernetzteil-festspannung-12-v-dc-2000-ma-24-w-1549856.html</t>
  </si>
  <si>
    <t>https://www.roboter-bausatz.de/p/misumi-lm8luu-lmuw8-linearlager</t>
  </si>
  <si>
    <t>Misumi LM8UU Long</t>
  </si>
  <si>
    <t>https://va-imaging.com/de/products/usb3-0-camera-12-2mp-color-sony-imx226-mer2-1220-32u3c</t>
  </si>
  <si>
    <t>Camera_MER2</t>
  </si>
  <si>
    <t>VA-Imaging, MER2-1220-32U3C</t>
  </si>
  <si>
    <t>USB_Cable</t>
  </si>
  <si>
    <t>https://www.reichelt.de/de/de/shop/produkt/usb_5_gb_s_kabel_a_stecker_auf_90_micro-b_18_mm_m2_1_0_m-394204#open-modal-image-big-slider</t>
  </si>
  <si>
    <t>USB 3.0 Cable, A to Micro-B, 1m</t>
  </si>
  <si>
    <t>https://www.conrad.de/de/p/joy-it-schrittmotor-nema-17-01-nema-17-01-0-4-nm-1-68-a-wellen-durchmesser-5-mm-1597325.html?&amp;utm_source=google&amp;utm_medium=cpc&amp;utm_campaign=DE%20-%20Search%20-%20Non%20Brand%20-%20Automation%20%26%20Pneumatik%20-%20Automatisierung&amp;utm_id=21558005894&amp;gad_source=1&amp;gclid=Cj0KCQjw2N2_BhCAARIsAK4pEkWSVnBVYnRRJ-W9qTYi3qIRUjKexzEopfI6WIt-6678PZvUtjZPFkkaAsLPEALw_wcB&amp;gclsrc=aw.ds</t>
  </si>
  <si>
    <t>https://www.reichelt.de/de/de/shop/produkt/schrittmotor_hoch-drehmoment_hybrid_2-phasen-219027</t>
  </si>
  <si>
    <t>Joy-IT, Nema 17 (Reichelt)</t>
  </si>
  <si>
    <t>Joy-IT, Nema 17 (Conrad)</t>
  </si>
  <si>
    <t>Microswitch 250 V 5A (Reichelt)</t>
  </si>
  <si>
    <t>Microswitch 250 V 5A (Conrad)</t>
  </si>
  <si>
    <t>https://www.roboter-bausatz.de/p/mks-tmc2209-schrittmotortreiber</t>
  </si>
  <si>
    <t>TMC 2209 Stepper Motor Driver</t>
  </si>
  <si>
    <t>https://www.reichelt.de/de/de/shop/produkt/usb_2_0_kabel_a_stecker_auf_b_stecker_0_2_m-378352</t>
  </si>
  <si>
    <t>USB A to B, 0.2m</t>
  </si>
  <si>
    <t>Diameter</t>
  </si>
  <si>
    <t>M2</t>
  </si>
  <si>
    <t>Type</t>
  </si>
  <si>
    <t>Length</t>
  </si>
  <si>
    <t>Power Socket</t>
  </si>
  <si>
    <t>End Stop Switch</t>
  </si>
  <si>
    <t>M3</t>
  </si>
  <si>
    <t>CNC Shield</t>
  </si>
  <si>
    <t>Fan</t>
  </si>
  <si>
    <t>N</t>
  </si>
  <si>
    <t>CL</t>
  </si>
  <si>
    <t>CS</t>
  </si>
  <si>
    <t>W</t>
  </si>
  <si>
    <t>Stepper Motor</t>
  </si>
  <si>
    <t>Camera Carrier</t>
  </si>
  <si>
    <t>Camera</t>
  </si>
  <si>
    <t>M4</t>
  </si>
  <si>
    <t>Energy Chain Brackets</t>
  </si>
  <si>
    <t>Lighting Unit</t>
  </si>
  <si>
    <t>Clamps</t>
  </si>
  <si>
    <t>U-Profile</t>
  </si>
  <si>
    <t>Flange Bearing</t>
  </si>
  <si>
    <t>Top Clamp</t>
  </si>
  <si>
    <t xml:space="preserve">Baseplate </t>
  </si>
  <si>
    <t>Top Lid</t>
  </si>
  <si>
    <t>Sum</t>
  </si>
  <si>
    <t>Cylindrical</t>
  </si>
  <si>
    <t>Countersunk</t>
  </si>
  <si>
    <t>Washer</t>
  </si>
  <si>
    <t>Nut</t>
  </si>
  <si>
    <t>CNC_Shield</t>
  </si>
  <si>
    <t>Arduino UNO</t>
  </si>
  <si>
    <t>Stepper_Driver</t>
  </si>
  <si>
    <t>https://www.conrad.de/de/p/joy-it-ard-r3dip-p-mikrocontroller-arduino-r3dip-precision-uno-kompatible-3344408.html?insert_kz=VQ&amp;hk=SEM&amp;WT.mc_id=google_pla&amp;utm_source=google&amp;utm_medium=cpc&amp;utm_campaign=DE%20-%20PMAX%20-%20Nonbrand%20-%20Learning&amp;utm_id=20402606569&amp;gad_source=1&amp;gad_campaignid=20392975386&amp;gbraid=0AAAAAD1-3H5ZNEsw7Fu2If7_46kOpQL-k&amp;gclid=Cj0KCQjwzt_FBhCEARIsAJGFWVmwQ5TSFQtZQuE8C2Om1oFwht-PNSDvdk7oH8cZbDXbWikdQY0cX74aAgCuEALw_wcB</t>
  </si>
  <si>
    <t>https://www.roboter-bausatz.de/p/trapezgewindespindel-fuer-3d-drucker-fraese-usw.-300x8mm-edelstahl-messingmutter</t>
  </si>
  <si>
    <t>https://www.roboter-bausatz.de/p/linearwelle-8-mm-x-350-mm</t>
  </si>
  <si>
    <t>https://www.reichelt.de/de/de/shop/produkt/arduino_kompatibles_uno_board_atmega328p-395380</t>
  </si>
  <si>
    <t>Joy-it ARD_R3DIP-P (Reichelt)</t>
  </si>
  <si>
    <t>Joy-it ARD_R3DIP-P (Conrad)</t>
  </si>
  <si>
    <t>https://www.reichelt.de/de/de/shop/produkt/einbaubuchse_geschlossen_aussen_6_2_mm_innen_2_1_mm-35271</t>
  </si>
  <si>
    <t>DC Power Socket 5.5-2.1mm (Reichelt)</t>
  </si>
  <si>
    <t>DC Power Socket 5.5-2.1mm (Conrad)</t>
  </si>
  <si>
    <t>In Stock</t>
  </si>
  <si>
    <t>&gt;20</t>
  </si>
  <si>
    <t>&gt;100</t>
  </si>
  <si>
    <t>Diffusor_Side_Plate</t>
  </si>
  <si>
    <t>Dupont Connectors</t>
  </si>
  <si>
    <t>Cables</t>
  </si>
  <si>
    <t>Ferrules</t>
  </si>
  <si>
    <t xml:space="preserve"> </t>
  </si>
  <si>
    <t>Units/Assembly</t>
  </si>
  <si>
    <t>45cm</t>
  </si>
  <si>
    <t>NaN</t>
  </si>
  <si>
    <t>Linear_Rail_Top_lid</t>
  </si>
  <si>
    <t>Filament price €/kg</t>
  </si>
  <si>
    <t>Quantity
per Set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</si>
</sst>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2" fillId="0" borderId="0" xfId="1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0" xfId="1" applyBorder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2" fontId="1" fillId="0" borderId="0" xfId="0" applyNumberFormat="1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top"/>
    </xf>
    <xf numFmtId="0" fontId="1" fillId="0" borderId="3" xfId="0" applyFont="1" applyBorder="1"/>
    <xf numFmtId="0" fontId="1" fillId="0" borderId="4" xfId="0" applyFont="1" applyBorder="1"/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5" xfId="0" applyBorder="1"/>
    <xf numFmtId="0" fontId="1" fillId="0" borderId="5" xfId="0" applyFont="1" applyBorder="1"/>
    <xf numFmtId="0" fontId="0" fillId="0" borderId="4" xfId="0" applyBorder="1"/>
    <xf numFmtId="0" fontId="0" fillId="0" borderId="6" xfId="0" applyBorder="1"/>
    <xf numFmtId="0" fontId="0" fillId="0" borderId="0" xfId="0" applyAlignment="1">
      <alignment vertic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2" xfId="0" applyNumberFormat="1" applyBorder="1" applyAlignment="1">
      <alignment horizontal="right"/>
    </xf>
    <xf numFmtId="0" fontId="1" fillId="4" borderId="0" xfId="0" applyFont="1" applyFill="1"/>
    <xf numFmtId="0" fontId="3" fillId="0" borderId="5" xfId="0" applyFont="1" applyBorder="1"/>
    <xf numFmtId="0" fontId="3" fillId="0" borderId="0" xfId="0" applyFont="1"/>
    <xf numFmtId="1" fontId="0" fillId="0" borderId="1" xfId="0" applyNumberFormat="1" applyBorder="1"/>
    <xf numFmtId="1" fontId="0" fillId="4" borderId="0" xfId="0" applyNumberFormat="1" applyFill="1"/>
    <xf numFmtId="1" fontId="0" fillId="0" borderId="0" xfId="0" applyNumberFormat="1"/>
    <xf numFmtId="1" fontId="0" fillId="0" borderId="2" xfId="0" applyNumberFormat="1" applyBorder="1"/>
    <xf numFmtId="1" fontId="0" fillId="4" borderId="0" xfId="0" applyNumberFormat="1" applyFill="1" applyAlignment="1">
      <alignment horizontal="right"/>
    </xf>
    <xf numFmtId="0" fontId="4" fillId="0" borderId="0" xfId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0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ter-bausatz.de/p/1-meter-schleppkette-zur-kabelfuehrung-7x7mm" TargetMode="External"/><Relationship Id="rId13" Type="http://schemas.openxmlformats.org/officeDocument/2006/relationships/hyperlink" Target="https://va-imaging.com/de/products/usb3-0-camera-12-2mp-color-sony-imx226-mer2-1220-32u3c" TargetMode="External"/><Relationship Id="rId18" Type="http://schemas.openxmlformats.org/officeDocument/2006/relationships/hyperlink" Target="https://www.conrad.de/de/p/joy-it-schrittmotor-nema-17-01-nema-17-01-0-4-nm-1-68-a-wellen-durchmesser-5-mm-1597325.html?&amp;utm_source=google&amp;utm_medium=cpc&amp;utm_campaign=DE%20-%20Search%20-%20Non%20Brand%20-%20Automation%20%26%20Pneumatik%20-%20Automatisierung&amp;utm_id=21558005894&amp;gad_source=1&amp;gclid=Cj0KCQjw2N2_BhCAARIsAK4pEkWSVnBVYnRRJ-W9qTYi3qIRUjKexzEopfI6WIt-6678PZvUtjZPFkkaAsLPEALw_wcB&amp;gclsrc=aw.ds" TargetMode="External"/><Relationship Id="rId26" Type="http://schemas.openxmlformats.org/officeDocument/2006/relationships/hyperlink" Target="https://www.roboter-bausatz.de/p/trapezgewindespindel-fuer-3d-drucker-fraese-usw.-300x8mm-edelstahl-messingmutter" TargetMode="External"/><Relationship Id="rId3" Type="http://schemas.openxmlformats.org/officeDocument/2006/relationships/hyperlink" Target="https://www.conrad.de/de/p/cliff-dc-13a-niedervolt-steckverbinder-buchse-einbau-horizontal-5-5-mm-2-1-mm-1-st-735766.html?refresh=true" TargetMode="External"/><Relationship Id="rId21" Type="http://schemas.openxmlformats.org/officeDocument/2006/relationships/hyperlink" Target="https://www.roboter-bausatz.de/p/mks-tmc2209-schrittmotortreiber" TargetMode="External"/><Relationship Id="rId7" Type="http://schemas.openxmlformats.org/officeDocument/2006/relationships/hyperlink" Target="https://www.roboter-bausatz.de/p/kfl08-stehlager-mit-flansch-2-stueck" TargetMode="External"/><Relationship Id="rId12" Type="http://schemas.openxmlformats.org/officeDocument/2006/relationships/hyperlink" Target="https://www.conrad.de/de/p/dehner-elektronik-saw-30-120-2000g-steckernetzteil-festspannung-12-v-dc-2000-ma-24-w-1549856.html" TargetMode="External"/><Relationship Id="rId17" Type="http://schemas.openxmlformats.org/officeDocument/2006/relationships/hyperlink" Target="https://www.roboter-bausatz.de/p/uno-r3-atmega328p-atmega16u2-board-arduino-kompatibel" TargetMode="External"/><Relationship Id="rId25" Type="http://schemas.openxmlformats.org/officeDocument/2006/relationships/hyperlink" Target="https://www.roboter-bausatz.de/p/linearwelle-8-mm-x-350-mm" TargetMode="External"/><Relationship Id="rId2" Type="http://schemas.openxmlformats.org/officeDocument/2006/relationships/hyperlink" Target="https://www.roboter-bausatz.de/p/led-dimmer-spannungswandler-modul-dc-3-7-24v" TargetMode="External"/><Relationship Id="rId16" Type="http://schemas.openxmlformats.org/officeDocument/2006/relationships/hyperlink" Target="https://www.roboter-bausatz.de/p/uno-cnc-shield-v3-kompatibel-mit-arduino-uno" TargetMode="External"/><Relationship Id="rId20" Type="http://schemas.openxmlformats.org/officeDocument/2006/relationships/hyperlink" Target="https://www.conrad.de/de/p/wago-221-415-1-221-verbindungsklemme-flexibel-0-14-4-mm-starr-0-2-4-mm-polzahl-5-1-st-transparent-orange-1188438.html" TargetMode="External"/><Relationship Id="rId1" Type="http://schemas.openxmlformats.org/officeDocument/2006/relationships/hyperlink" Target="https://www.reichelt.de/de/de/shop/produkt/usb_3_0_4-port_hub_4xa_usb-a-kabel_120_cm-346300" TargetMode="External"/><Relationship Id="rId6" Type="http://schemas.openxmlformats.org/officeDocument/2006/relationships/hyperlink" Target="https://www.conrad.de/de/p/tru-components-tc-9122112-mikroschalter-250-v-ac-5-a-1-x-ein-ein-tastend-1-st-2280528.html" TargetMode="External"/><Relationship Id="rId11" Type="http://schemas.openxmlformats.org/officeDocument/2006/relationships/hyperlink" Target="https://www.roboter-bausatz.de/p/yourdroid-netzteil-12v-3a-5-5x2-1mm-dc-stecker" TargetMode="External"/><Relationship Id="rId24" Type="http://schemas.openxmlformats.org/officeDocument/2006/relationships/hyperlink" Target="https://www.igus.de/product/series-E04?artnr=E04.07.038.0" TargetMode="External"/><Relationship Id="rId5" Type="http://schemas.openxmlformats.org/officeDocument/2006/relationships/hyperlink" Target="https://www.reichelt.de/de/de/shop/produkt/mikroschalter_250_v_5a_1_wechsler_flachhebel-375529" TargetMode="External"/><Relationship Id="rId15" Type="http://schemas.openxmlformats.org/officeDocument/2006/relationships/hyperlink" Target="https://www.roboter-bausatz.de/p/misumi-lm8luu-lmuw8-linearlager" TargetMode="External"/><Relationship Id="rId23" Type="http://schemas.openxmlformats.org/officeDocument/2006/relationships/hyperlink" Target="https://www.conrad.de/de/p/joy-it-ard-r3dip-p-mikrocontroller-arduino-r3dip-precision-uno-kompatible-3344408.html?insert_kz=VQ&amp;hk=SEM&amp;WT.mc_id=google_pla&amp;utm_source=google&amp;utm_medium=cpc&amp;utm_campaign=DE%20-%20PMAX%20-%20Nonbrand%20-%20Learning&amp;utm_id=20402606569&amp;gad_source=1&amp;gad_campaignid=20392975386&amp;gbraid=0AAAAAD1-3H5ZNEsw7Fu2If7_46kOpQL-k&amp;gclid=Cj0KCQjwzt_FBhCEARIsAJGFWVmwQ5TSFQtZQuE8C2Om1oFwht-PNSDvdk7oH8cZbDXbWikdQY0cX74aAgCuEALw_wcB" TargetMode="External"/><Relationship Id="rId10" Type="http://schemas.openxmlformats.org/officeDocument/2006/relationships/hyperlink" Target="https://www.roboter-bausatz.de/p/12v-luefter-40-40-10mm-fuer-extruder-hot-end" TargetMode="External"/><Relationship Id="rId19" Type="http://schemas.openxmlformats.org/officeDocument/2006/relationships/hyperlink" Target="https://www.reichelt.de/de/de/shop/produkt/schrittmotor_hoch-drehmoment_hybrid_2-phasen-219027" TargetMode="External"/><Relationship Id="rId4" Type="http://schemas.openxmlformats.org/officeDocument/2006/relationships/hyperlink" Target="https://www.conrad.de/de/p/tru-components-wippschalter-tc-r13-242b2-12-v-dc-25-a-1-x-aus-ein-rastend-1-st-1588028.html" TargetMode="External"/><Relationship Id="rId9" Type="http://schemas.openxmlformats.org/officeDocument/2006/relationships/hyperlink" Target="https://www.roboter-bausatz.de/p/flexible-wellenkupplung-5mm-auf-8mm" TargetMode="External"/><Relationship Id="rId14" Type="http://schemas.openxmlformats.org/officeDocument/2006/relationships/hyperlink" Target="https://www.reichelt.de/de/de/shop/produkt/usb_5_gb_s_kabel_a_stecker_auf_90_micro-b_18_mm_m2_1_0_m-394204" TargetMode="External"/><Relationship Id="rId22" Type="http://schemas.openxmlformats.org/officeDocument/2006/relationships/hyperlink" Target="https://www.reichelt.de/de/de/shop/produkt/usb_2_0_kabel_a_stecker_auf_b_stecker_0_2_m-378352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tabSelected="1" zoomScale="85" zoomScaleNormal="85" workbookViewId="0">
      <selection activeCell="E61" sqref="E61"/>
    </sheetView>
  </sheetViews>
  <sheetFormatPr baseColWidth="10" defaultColWidth="9" defaultRowHeight="14.5" x14ac:dyDescent="0.35"/>
  <cols>
    <col min="1" max="1" width="25.54296875" customWidth="1"/>
    <col min="2" max="2" width="27.1796875" customWidth="1"/>
    <col min="3" max="3" width="12.7265625" style="15" customWidth="1"/>
    <col min="4" max="4" width="14.453125" customWidth="1"/>
    <col min="5" max="5" width="44.81640625" customWidth="1"/>
    <col min="6" max="6" width="10.90625" style="15" customWidth="1"/>
    <col min="7" max="7" width="30.453125" customWidth="1"/>
    <col min="8" max="9" width="10" style="3" customWidth="1"/>
    <col min="10" max="10" width="16" style="40" customWidth="1"/>
    <col min="11" max="11" width="9" style="3" customWidth="1"/>
    <col min="12" max="12" width="22.26953125" customWidth="1"/>
    <col min="13" max="13" width="17.26953125" customWidth="1"/>
    <col min="19" max="19" width="20.1796875" customWidth="1"/>
  </cols>
  <sheetData>
    <row r="1" spans="1:20" s="1" customFormat="1" ht="30" customHeight="1" x14ac:dyDescent="0.35">
      <c r="A1" s="1" t="s">
        <v>0</v>
      </c>
      <c r="B1" s="1" t="s">
        <v>1</v>
      </c>
      <c r="C1" s="13"/>
      <c r="D1" s="1" t="s">
        <v>0</v>
      </c>
      <c r="E1" s="1" t="s">
        <v>13</v>
      </c>
      <c r="F1" s="53" t="s">
        <v>163</v>
      </c>
      <c r="G1" s="1" t="s">
        <v>2</v>
      </c>
      <c r="H1" s="1" t="s">
        <v>3</v>
      </c>
      <c r="I1" s="1" t="s">
        <v>4</v>
      </c>
      <c r="J1" s="35" t="s">
        <v>158</v>
      </c>
      <c r="K1" s="1" t="s">
        <v>150</v>
      </c>
      <c r="L1" s="1" t="s">
        <v>5</v>
      </c>
      <c r="M1" s="1" t="s">
        <v>6</v>
      </c>
    </row>
    <row r="2" spans="1:20" s="4" customFormat="1" x14ac:dyDescent="0.35">
      <c r="A2" s="4" t="s">
        <v>12</v>
      </c>
      <c r="B2" s="4" t="s">
        <v>26</v>
      </c>
      <c r="C2" s="14"/>
      <c r="D2" s="4" t="s">
        <v>20</v>
      </c>
      <c r="F2" s="14">
        <v>1</v>
      </c>
      <c r="I2" s="5">
        <f>(T3/1000)*L2</f>
        <v>0.94400000000000006</v>
      </c>
      <c r="J2" s="38"/>
      <c r="K2" s="32"/>
      <c r="L2" s="4">
        <v>59</v>
      </c>
    </row>
    <row r="3" spans="1:20" s="1" customFormat="1" x14ac:dyDescent="0.35">
      <c r="A3"/>
      <c r="B3" s="17" t="s">
        <v>138</v>
      </c>
      <c r="C3" s="31"/>
      <c r="D3" t="s">
        <v>21</v>
      </c>
      <c r="E3" t="s">
        <v>52</v>
      </c>
      <c r="F3" s="15">
        <v>1</v>
      </c>
      <c r="G3" s="6" t="s">
        <v>51</v>
      </c>
      <c r="H3" s="3">
        <v>5.22</v>
      </c>
      <c r="I3" s="3">
        <f t="shared" ref="I3:I14" si="0">H3*F3</f>
        <v>5.22</v>
      </c>
      <c r="J3" s="39">
        <v>1</v>
      </c>
      <c r="K3" s="33">
        <v>21</v>
      </c>
      <c r="L3" s="43" t="s">
        <v>160</v>
      </c>
      <c r="S3" s="1" t="s">
        <v>162</v>
      </c>
      <c r="T3" s="47">
        <v>16</v>
      </c>
    </row>
    <row r="4" spans="1:20" s="1" customFormat="1" x14ac:dyDescent="0.35">
      <c r="A4"/>
      <c r="B4" s="17" t="s">
        <v>139</v>
      </c>
      <c r="C4" s="48" t="s">
        <v>30</v>
      </c>
      <c r="D4" t="s">
        <v>21</v>
      </c>
      <c r="E4" s="7" t="s">
        <v>54</v>
      </c>
      <c r="F4" s="15">
        <v>1</v>
      </c>
      <c r="G4" s="6" t="s">
        <v>53</v>
      </c>
      <c r="H4" s="3">
        <v>9.9499999999999993</v>
      </c>
      <c r="I4" s="3">
        <f t="shared" si="0"/>
        <v>9.9499999999999993</v>
      </c>
      <c r="J4" s="39">
        <v>1</v>
      </c>
      <c r="K4" s="33">
        <v>25</v>
      </c>
      <c r="L4" s="43" t="s">
        <v>160</v>
      </c>
    </row>
    <row r="5" spans="1:20" s="1" customFormat="1" x14ac:dyDescent="0.35">
      <c r="A5"/>
      <c r="B5" s="17"/>
      <c r="C5" s="48"/>
      <c r="D5" t="s">
        <v>21</v>
      </c>
      <c r="E5" t="s">
        <v>145</v>
      </c>
      <c r="F5" s="15">
        <v>0</v>
      </c>
      <c r="G5" s="6" t="s">
        <v>144</v>
      </c>
      <c r="H5" s="3">
        <v>13.7</v>
      </c>
      <c r="I5" s="3">
        <f t="shared" si="0"/>
        <v>0</v>
      </c>
      <c r="J5" s="40"/>
      <c r="K5" s="33"/>
      <c r="L5" s="43" t="s">
        <v>160</v>
      </c>
    </row>
    <row r="6" spans="1:20" s="1" customFormat="1" x14ac:dyDescent="0.35">
      <c r="A6"/>
      <c r="B6" s="17"/>
      <c r="C6" s="48"/>
      <c r="D6" t="s">
        <v>21</v>
      </c>
      <c r="E6" t="s">
        <v>146</v>
      </c>
      <c r="F6" s="15">
        <v>0</v>
      </c>
      <c r="G6" s="6" t="s">
        <v>141</v>
      </c>
      <c r="H6" s="3">
        <v>14.9</v>
      </c>
      <c r="I6" s="3">
        <f t="shared" si="0"/>
        <v>0</v>
      </c>
      <c r="J6" s="40"/>
      <c r="K6" s="33"/>
      <c r="L6" s="43" t="s">
        <v>160</v>
      </c>
    </row>
    <row r="7" spans="1:20" s="1" customFormat="1" x14ac:dyDescent="0.35">
      <c r="A7"/>
      <c r="B7" s="17" t="s">
        <v>140</v>
      </c>
      <c r="C7" s="15"/>
      <c r="D7" t="s">
        <v>21</v>
      </c>
      <c r="E7" s="7" t="s">
        <v>105</v>
      </c>
      <c r="F7" s="15">
        <v>1</v>
      </c>
      <c r="G7" s="6" t="s">
        <v>104</v>
      </c>
      <c r="H7" s="3">
        <v>5.95</v>
      </c>
      <c r="I7" s="3">
        <f t="shared" si="0"/>
        <v>5.95</v>
      </c>
      <c r="J7" s="39">
        <v>1</v>
      </c>
      <c r="K7" s="33">
        <v>1</v>
      </c>
      <c r="L7" s="43" t="s">
        <v>160</v>
      </c>
    </row>
    <row r="8" spans="1:20" s="1" customFormat="1" x14ac:dyDescent="0.35">
      <c r="A8"/>
      <c r="B8" t="s">
        <v>16</v>
      </c>
      <c r="C8" s="15"/>
      <c r="D8" t="s">
        <v>21</v>
      </c>
      <c r="E8" t="s">
        <v>19</v>
      </c>
      <c r="F8" s="15">
        <v>1</v>
      </c>
      <c r="G8" s="2" t="s">
        <v>18</v>
      </c>
      <c r="H8" s="3">
        <v>4.62</v>
      </c>
      <c r="I8" s="3">
        <f t="shared" si="0"/>
        <v>4.62</v>
      </c>
      <c r="J8" s="39">
        <v>1</v>
      </c>
      <c r="K8" s="33">
        <v>15</v>
      </c>
      <c r="L8" s="43" t="s">
        <v>160</v>
      </c>
    </row>
    <row r="9" spans="1:20" s="1" customFormat="1" x14ac:dyDescent="0.35">
      <c r="A9"/>
      <c r="B9" t="s">
        <v>63</v>
      </c>
      <c r="C9" s="15"/>
      <c r="D9" t="s">
        <v>21</v>
      </c>
      <c r="E9" t="s">
        <v>68</v>
      </c>
      <c r="F9" s="15">
        <f>1/30</f>
        <v>3.3333333333333333E-2</v>
      </c>
      <c r="G9" s="2" t="s">
        <v>67</v>
      </c>
      <c r="H9" s="3">
        <v>1.39</v>
      </c>
      <c r="I9" s="3">
        <f t="shared" si="0"/>
        <v>4.6333333333333331E-2</v>
      </c>
      <c r="J9" s="39">
        <v>1</v>
      </c>
      <c r="K9" s="33">
        <v>20</v>
      </c>
      <c r="L9" s="43" t="s">
        <v>160</v>
      </c>
    </row>
    <row r="10" spans="1:20" s="1" customFormat="1" x14ac:dyDescent="0.35">
      <c r="A10"/>
      <c r="B10" t="s">
        <v>71</v>
      </c>
      <c r="C10" s="15"/>
      <c r="D10" t="s">
        <v>21</v>
      </c>
      <c r="E10" t="s">
        <v>72</v>
      </c>
      <c r="F10" s="15">
        <v>2</v>
      </c>
      <c r="G10" s="2" t="s">
        <v>73</v>
      </c>
      <c r="H10" s="3">
        <v>0.52</v>
      </c>
      <c r="I10" s="3">
        <f t="shared" si="0"/>
        <v>1.04</v>
      </c>
      <c r="J10" s="39">
        <v>2</v>
      </c>
      <c r="K10" s="33" t="s">
        <v>151</v>
      </c>
      <c r="L10" s="43" t="s">
        <v>160</v>
      </c>
    </row>
    <row r="11" spans="1:20" s="1" customFormat="1" x14ac:dyDescent="0.35">
      <c r="A11"/>
      <c r="B11" t="s">
        <v>74</v>
      </c>
      <c r="C11" s="15"/>
      <c r="D11" t="s">
        <v>21</v>
      </c>
      <c r="E11" t="s">
        <v>75</v>
      </c>
      <c r="F11" s="15">
        <v>2</v>
      </c>
      <c r="G11" s="2" t="s">
        <v>76</v>
      </c>
      <c r="H11" s="3">
        <v>1.49</v>
      </c>
      <c r="I11" s="3">
        <f t="shared" si="0"/>
        <v>2.98</v>
      </c>
      <c r="J11" s="39">
        <v>2</v>
      </c>
      <c r="K11" s="33">
        <v>9</v>
      </c>
      <c r="L11" s="43" t="s">
        <v>160</v>
      </c>
    </row>
    <row r="12" spans="1:20" s="1" customFormat="1" x14ac:dyDescent="0.35">
      <c r="A12"/>
      <c r="B12" s="17" t="s">
        <v>17</v>
      </c>
      <c r="C12" s="31"/>
      <c r="D12" t="s">
        <v>21</v>
      </c>
      <c r="E12" t="s">
        <v>15</v>
      </c>
      <c r="F12" s="15">
        <v>1</v>
      </c>
      <c r="G12" s="2" t="s">
        <v>14</v>
      </c>
      <c r="H12" s="3">
        <v>13.9</v>
      </c>
      <c r="I12" s="3">
        <f t="shared" si="0"/>
        <v>13.9</v>
      </c>
      <c r="J12" s="39">
        <v>1</v>
      </c>
      <c r="K12" s="33">
        <v>15</v>
      </c>
      <c r="L12" s="43" t="s">
        <v>160</v>
      </c>
    </row>
    <row r="13" spans="1:20" s="1" customFormat="1" x14ac:dyDescent="0.35">
      <c r="A13"/>
      <c r="B13" t="s">
        <v>69</v>
      </c>
      <c r="C13" s="15"/>
      <c r="D13" t="s">
        <v>21</v>
      </c>
      <c r="E13" t="s">
        <v>107</v>
      </c>
      <c r="F13" s="15">
        <v>1</v>
      </c>
      <c r="G13" s="2" t="s">
        <v>106</v>
      </c>
      <c r="H13" s="3">
        <v>2.15</v>
      </c>
      <c r="I13" s="3">
        <f t="shared" si="0"/>
        <v>2.15</v>
      </c>
      <c r="J13" s="39">
        <v>1</v>
      </c>
      <c r="K13" s="33">
        <v>20</v>
      </c>
      <c r="L13" s="43" t="s">
        <v>160</v>
      </c>
    </row>
    <row r="14" spans="1:20" x14ac:dyDescent="0.35">
      <c r="I14" s="3">
        <f t="shared" si="0"/>
        <v>0</v>
      </c>
      <c r="K14" s="33"/>
      <c r="L14" s="44"/>
    </row>
    <row r="15" spans="1:20" s="4" customFormat="1" x14ac:dyDescent="0.35">
      <c r="A15" s="4" t="s">
        <v>28</v>
      </c>
      <c r="B15" s="4" t="s">
        <v>7</v>
      </c>
      <c r="C15" s="14"/>
      <c r="D15" s="4" t="s">
        <v>20</v>
      </c>
      <c r="F15" s="14">
        <v>1</v>
      </c>
      <c r="H15" s="5"/>
      <c r="I15" s="5">
        <f>(T3/1000)*L15</f>
        <v>2.4</v>
      </c>
      <c r="J15" s="38"/>
      <c r="K15" s="32"/>
      <c r="L15" s="45">
        <v>150</v>
      </c>
    </row>
    <row r="16" spans="1:20" x14ac:dyDescent="0.35">
      <c r="B16" t="s">
        <v>8</v>
      </c>
      <c r="D16" t="s">
        <v>20</v>
      </c>
      <c r="F16" s="15">
        <v>1</v>
      </c>
      <c r="I16" s="3">
        <f>(T3/1000)*L16</f>
        <v>0.8</v>
      </c>
      <c r="K16" s="33"/>
      <c r="L16" s="44">
        <v>50</v>
      </c>
    </row>
    <row r="17" spans="2:14" x14ac:dyDescent="0.35">
      <c r="B17" t="s">
        <v>9</v>
      </c>
      <c r="D17" t="s">
        <v>20</v>
      </c>
      <c r="F17" s="15">
        <v>2</v>
      </c>
      <c r="I17" s="3">
        <f>(T3/1000)*L17</f>
        <v>0.08</v>
      </c>
      <c r="K17" s="33"/>
      <c r="L17" s="44">
        <v>5</v>
      </c>
    </row>
    <row r="18" spans="2:14" x14ac:dyDescent="0.35">
      <c r="B18" t="s">
        <v>161</v>
      </c>
      <c r="D18" t="s">
        <v>20</v>
      </c>
      <c r="F18" s="15">
        <v>1</v>
      </c>
      <c r="I18" s="3">
        <f>(T3/1000)*L18</f>
        <v>0.60799999999999998</v>
      </c>
      <c r="K18" s="33"/>
      <c r="L18" s="44">
        <v>38</v>
      </c>
    </row>
    <row r="19" spans="2:14" x14ac:dyDescent="0.35">
      <c r="B19" t="s">
        <v>24</v>
      </c>
      <c r="D19" t="s">
        <v>21</v>
      </c>
      <c r="E19" t="s">
        <v>23</v>
      </c>
      <c r="F19" s="15">
        <v>2</v>
      </c>
      <c r="G19" s="2" t="s">
        <v>143</v>
      </c>
      <c r="H19" s="3">
        <v>6.65</v>
      </c>
      <c r="I19" s="3">
        <f t="shared" ref="I19:I37" si="1">H19*F19</f>
        <v>13.3</v>
      </c>
      <c r="J19" s="39">
        <v>2</v>
      </c>
      <c r="K19" s="33">
        <v>15</v>
      </c>
      <c r="L19" s="43" t="s">
        <v>160</v>
      </c>
    </row>
    <row r="20" spans="2:14" x14ac:dyDescent="0.35">
      <c r="B20" t="s">
        <v>25</v>
      </c>
      <c r="D20" t="s">
        <v>21</v>
      </c>
      <c r="E20" t="s">
        <v>22</v>
      </c>
      <c r="F20" s="15">
        <v>1</v>
      </c>
      <c r="G20" s="2" t="s">
        <v>142</v>
      </c>
      <c r="H20" s="3">
        <v>7.95</v>
      </c>
      <c r="I20" s="3">
        <f t="shared" si="1"/>
        <v>7.95</v>
      </c>
      <c r="J20" s="39">
        <v>1</v>
      </c>
      <c r="K20" s="33">
        <v>20</v>
      </c>
      <c r="L20" s="43" t="s">
        <v>160</v>
      </c>
    </row>
    <row r="21" spans="2:14" x14ac:dyDescent="0.35">
      <c r="B21" t="s">
        <v>128</v>
      </c>
      <c r="F21" s="15">
        <v>1</v>
      </c>
      <c r="I21" s="3">
        <f t="shared" si="1"/>
        <v>0</v>
      </c>
      <c r="K21" s="33">
        <v>1</v>
      </c>
      <c r="L21" s="43" t="s">
        <v>160</v>
      </c>
      <c r="N21" t="s">
        <v>157</v>
      </c>
    </row>
    <row r="22" spans="2:14" x14ac:dyDescent="0.35">
      <c r="B22" t="s">
        <v>10</v>
      </c>
      <c r="D22" t="s">
        <v>21</v>
      </c>
      <c r="E22" t="s">
        <v>32</v>
      </c>
      <c r="F22" s="15">
        <v>0.5</v>
      </c>
      <c r="G22" s="2" t="s">
        <v>27</v>
      </c>
      <c r="H22" s="3">
        <v>3.71</v>
      </c>
      <c r="I22" s="3">
        <f t="shared" si="1"/>
        <v>1.855</v>
      </c>
      <c r="J22" s="39">
        <v>1</v>
      </c>
      <c r="K22" s="33">
        <v>10</v>
      </c>
      <c r="L22" s="43" t="s">
        <v>160</v>
      </c>
    </row>
    <row r="23" spans="2:14" x14ac:dyDescent="0.35">
      <c r="B23" s="17" t="s">
        <v>34</v>
      </c>
      <c r="C23" s="48" t="s">
        <v>30</v>
      </c>
      <c r="D23" t="s">
        <v>21</v>
      </c>
      <c r="E23" s="7" t="s">
        <v>36</v>
      </c>
      <c r="F23" s="15">
        <v>1</v>
      </c>
      <c r="G23" s="2" t="s">
        <v>35</v>
      </c>
      <c r="H23" s="3">
        <v>1.55</v>
      </c>
      <c r="I23" s="3">
        <f t="shared" si="1"/>
        <v>1.55</v>
      </c>
      <c r="J23" s="39">
        <v>1</v>
      </c>
      <c r="K23" s="33">
        <v>18</v>
      </c>
      <c r="L23" s="43" t="s">
        <v>160</v>
      </c>
    </row>
    <row r="24" spans="2:14" x14ac:dyDescent="0.35">
      <c r="C24" s="48"/>
      <c r="D24" t="s">
        <v>21</v>
      </c>
      <c r="E24" t="s">
        <v>37</v>
      </c>
      <c r="F24" s="15">
        <v>0</v>
      </c>
      <c r="G24" s="2" t="s">
        <v>11</v>
      </c>
      <c r="H24" s="3">
        <v>4.99</v>
      </c>
      <c r="I24" s="3">
        <f t="shared" si="1"/>
        <v>0</v>
      </c>
      <c r="K24" s="33"/>
      <c r="L24" s="43" t="s">
        <v>160</v>
      </c>
    </row>
    <row r="25" spans="2:14" x14ac:dyDescent="0.35">
      <c r="B25" t="s">
        <v>33</v>
      </c>
      <c r="C25" s="48" t="s">
        <v>30</v>
      </c>
      <c r="D25" t="s">
        <v>21</v>
      </c>
      <c r="E25" s="7" t="s">
        <v>100</v>
      </c>
      <c r="F25" s="15">
        <v>1</v>
      </c>
      <c r="G25" s="2" t="s">
        <v>99</v>
      </c>
      <c r="H25" s="3">
        <v>25.8</v>
      </c>
      <c r="I25" s="3">
        <f t="shared" si="1"/>
        <v>25.8</v>
      </c>
      <c r="J25" s="39">
        <v>1</v>
      </c>
      <c r="K25" s="33">
        <v>19</v>
      </c>
      <c r="L25" s="43" t="s">
        <v>160</v>
      </c>
    </row>
    <row r="26" spans="2:14" x14ac:dyDescent="0.35">
      <c r="C26" s="48"/>
      <c r="D26" t="s">
        <v>21</v>
      </c>
      <c r="E26" t="s">
        <v>101</v>
      </c>
      <c r="F26" s="15">
        <v>0</v>
      </c>
      <c r="G26" s="2" t="s">
        <v>98</v>
      </c>
      <c r="H26" s="3">
        <v>29.99</v>
      </c>
      <c r="I26" s="3">
        <f t="shared" si="1"/>
        <v>0</v>
      </c>
      <c r="K26" s="33"/>
      <c r="L26" s="43" t="s">
        <v>160</v>
      </c>
    </row>
    <row r="27" spans="2:14" x14ac:dyDescent="0.35">
      <c r="B27" s="17" t="s">
        <v>38</v>
      </c>
      <c r="C27" s="48" t="s">
        <v>30</v>
      </c>
      <c r="D27" t="s">
        <v>21</v>
      </c>
      <c r="E27" s="7" t="s">
        <v>39</v>
      </c>
      <c r="F27" s="15">
        <v>1</v>
      </c>
      <c r="G27" s="2" t="s">
        <v>40</v>
      </c>
      <c r="H27" s="3">
        <v>1.0900000000000001</v>
      </c>
      <c r="I27" s="3">
        <f t="shared" si="1"/>
        <v>1.0900000000000001</v>
      </c>
      <c r="J27" s="39">
        <v>1</v>
      </c>
      <c r="K27" s="33">
        <v>12</v>
      </c>
      <c r="L27" s="43" t="s">
        <v>160</v>
      </c>
    </row>
    <row r="28" spans="2:14" x14ac:dyDescent="0.35">
      <c r="B28" s="17"/>
      <c r="C28" s="48"/>
      <c r="D28" t="s">
        <v>21</v>
      </c>
      <c r="E28" t="s">
        <v>42</v>
      </c>
      <c r="F28" s="15">
        <v>0</v>
      </c>
      <c r="G28" s="2" t="s">
        <v>41</v>
      </c>
      <c r="H28" s="3">
        <v>3.79</v>
      </c>
      <c r="I28" s="3">
        <f t="shared" si="1"/>
        <v>0</v>
      </c>
      <c r="K28" s="33"/>
      <c r="L28" s="43" t="s">
        <v>160</v>
      </c>
    </row>
    <row r="29" spans="2:14" x14ac:dyDescent="0.35">
      <c r="B29" s="12" t="s">
        <v>84</v>
      </c>
      <c r="C29" s="8"/>
      <c r="D29" t="s">
        <v>21</v>
      </c>
      <c r="E29" t="s">
        <v>85</v>
      </c>
      <c r="F29" s="15">
        <v>1</v>
      </c>
      <c r="G29" s="2" t="s">
        <v>83</v>
      </c>
      <c r="H29" s="3">
        <v>0.49</v>
      </c>
      <c r="I29" s="3">
        <f t="shared" si="1"/>
        <v>0.49</v>
      </c>
      <c r="J29" s="39">
        <v>1</v>
      </c>
      <c r="K29" s="33">
        <v>12</v>
      </c>
      <c r="L29" s="43" t="s">
        <v>160</v>
      </c>
    </row>
    <row r="30" spans="2:14" x14ac:dyDescent="0.35">
      <c r="B30" t="s">
        <v>43</v>
      </c>
      <c r="C30" s="48" t="s">
        <v>30</v>
      </c>
      <c r="D30" t="s">
        <v>21</v>
      </c>
      <c r="E30" s="7" t="s">
        <v>148</v>
      </c>
      <c r="F30" s="15">
        <v>1</v>
      </c>
      <c r="G30" s="2" t="s">
        <v>147</v>
      </c>
      <c r="H30" s="3">
        <v>1.3</v>
      </c>
      <c r="I30" s="3">
        <f t="shared" si="1"/>
        <v>1.3</v>
      </c>
      <c r="J30" s="39">
        <v>1</v>
      </c>
      <c r="K30" s="33">
        <v>15</v>
      </c>
      <c r="L30" s="43" t="s">
        <v>160</v>
      </c>
    </row>
    <row r="31" spans="2:14" x14ac:dyDescent="0.35">
      <c r="C31" s="48"/>
      <c r="D31" t="s">
        <v>21</v>
      </c>
      <c r="E31" t="s">
        <v>149</v>
      </c>
      <c r="F31" s="15">
        <v>0</v>
      </c>
      <c r="G31" s="2" t="s">
        <v>50</v>
      </c>
      <c r="H31" s="3">
        <v>1.49</v>
      </c>
      <c r="I31" s="3">
        <f t="shared" si="1"/>
        <v>0</v>
      </c>
      <c r="K31" s="33"/>
      <c r="L31" s="43" t="s">
        <v>160</v>
      </c>
    </row>
    <row r="32" spans="2:14" x14ac:dyDescent="0.35">
      <c r="B32" t="s">
        <v>55</v>
      </c>
      <c r="D32" t="s">
        <v>21</v>
      </c>
      <c r="E32" t="s">
        <v>57</v>
      </c>
      <c r="F32" s="15">
        <v>1</v>
      </c>
      <c r="G32" s="2" t="s">
        <v>56</v>
      </c>
      <c r="H32" s="3">
        <v>3.29</v>
      </c>
      <c r="I32" s="3">
        <f t="shared" si="1"/>
        <v>3.29</v>
      </c>
      <c r="J32" s="39">
        <v>1</v>
      </c>
      <c r="K32" s="33">
        <v>16</v>
      </c>
      <c r="L32" s="43" t="s">
        <v>160</v>
      </c>
    </row>
    <row r="33" spans="1:12" x14ac:dyDescent="0.35">
      <c r="B33" t="s">
        <v>58</v>
      </c>
      <c r="C33" s="48" t="s">
        <v>30</v>
      </c>
      <c r="D33" t="s">
        <v>21</v>
      </c>
      <c r="E33" s="7" t="s">
        <v>102</v>
      </c>
      <c r="F33" s="15">
        <v>1</v>
      </c>
      <c r="G33" s="2" t="s">
        <v>59</v>
      </c>
      <c r="H33" s="3">
        <v>0.7</v>
      </c>
      <c r="I33" s="3">
        <f t="shared" si="1"/>
        <v>0.7</v>
      </c>
      <c r="J33" s="39">
        <v>1</v>
      </c>
      <c r="K33" s="33">
        <v>10</v>
      </c>
      <c r="L33" s="43" t="s">
        <v>160</v>
      </c>
    </row>
    <row r="34" spans="1:12" x14ac:dyDescent="0.35">
      <c r="C34" s="48"/>
      <c r="D34" t="s">
        <v>21</v>
      </c>
      <c r="E34" t="s">
        <v>103</v>
      </c>
      <c r="F34" s="15">
        <v>0</v>
      </c>
      <c r="G34" s="2" t="s">
        <v>60</v>
      </c>
      <c r="H34" s="3">
        <v>1.49</v>
      </c>
      <c r="I34" s="3">
        <f t="shared" si="1"/>
        <v>0</v>
      </c>
      <c r="K34" s="33"/>
      <c r="L34" s="43" t="s">
        <v>160</v>
      </c>
    </row>
    <row r="35" spans="1:12" x14ac:dyDescent="0.35">
      <c r="B35" t="s">
        <v>62</v>
      </c>
      <c r="C35" s="49" t="s">
        <v>70</v>
      </c>
      <c r="D35" t="s">
        <v>21</v>
      </c>
      <c r="E35" t="s">
        <v>79</v>
      </c>
      <c r="F35" s="15">
        <v>0</v>
      </c>
      <c r="G35" s="2" t="s">
        <v>61</v>
      </c>
      <c r="H35" s="3">
        <v>4.3899999999999997</v>
      </c>
      <c r="I35" s="3">
        <f t="shared" si="1"/>
        <v>0</v>
      </c>
      <c r="L35" s="43" t="s">
        <v>160</v>
      </c>
    </row>
    <row r="36" spans="1:12" x14ac:dyDescent="0.35">
      <c r="C36" s="49"/>
      <c r="D36" t="s">
        <v>21</v>
      </c>
      <c r="E36" t="s">
        <v>78</v>
      </c>
      <c r="F36" s="15">
        <v>13</v>
      </c>
      <c r="G36" s="2" t="s">
        <v>77</v>
      </c>
      <c r="H36" s="3">
        <v>0.32</v>
      </c>
      <c r="I36" s="3">
        <f t="shared" si="1"/>
        <v>4.16</v>
      </c>
      <c r="J36" s="39">
        <v>15</v>
      </c>
      <c r="K36" s="33" t="s">
        <v>152</v>
      </c>
      <c r="L36" s="43" t="s">
        <v>160</v>
      </c>
    </row>
    <row r="37" spans="1:12" s="9" customFormat="1" x14ac:dyDescent="0.35">
      <c r="C37" s="16"/>
      <c r="F37" s="16"/>
      <c r="H37" s="10"/>
      <c r="I37" s="10">
        <f t="shared" si="1"/>
        <v>0</v>
      </c>
      <c r="J37" s="41"/>
      <c r="K37" s="34"/>
      <c r="L37" s="46"/>
    </row>
    <row r="38" spans="1:12" x14ac:dyDescent="0.35">
      <c r="A38" t="s">
        <v>29</v>
      </c>
      <c r="B38" t="s">
        <v>44</v>
      </c>
      <c r="D38" t="s">
        <v>20</v>
      </c>
      <c r="F38" s="15">
        <v>1</v>
      </c>
      <c r="I38" s="3">
        <f>(T3/1000)*L38</f>
        <v>1.6</v>
      </c>
      <c r="K38" s="33"/>
      <c r="L38" s="44">
        <v>100</v>
      </c>
    </row>
    <row r="39" spans="1:12" x14ac:dyDescent="0.35">
      <c r="B39" s="17" t="s">
        <v>31</v>
      </c>
      <c r="D39" t="s">
        <v>21</v>
      </c>
      <c r="E39" s="54" t="s">
        <v>91</v>
      </c>
      <c r="F39" s="15">
        <v>2</v>
      </c>
      <c r="G39" s="2" t="s">
        <v>90</v>
      </c>
      <c r="H39" s="3">
        <v>8.4499999999999993</v>
      </c>
      <c r="I39" s="3">
        <f t="shared" ref="I39:I42" si="2">H39*F39</f>
        <v>16.899999999999999</v>
      </c>
      <c r="J39" s="39">
        <v>2</v>
      </c>
      <c r="K39" s="33">
        <v>25</v>
      </c>
      <c r="L39" s="43" t="s">
        <v>160</v>
      </c>
    </row>
    <row r="40" spans="1:12" x14ac:dyDescent="0.35">
      <c r="B40" t="s">
        <v>65</v>
      </c>
      <c r="C40" s="8"/>
      <c r="D40" t="s">
        <v>21</v>
      </c>
      <c r="E40" t="s">
        <v>66</v>
      </c>
      <c r="F40" s="15">
        <v>1</v>
      </c>
      <c r="G40" s="2" t="s">
        <v>64</v>
      </c>
      <c r="H40" s="3">
        <v>2.4500000000000002</v>
      </c>
      <c r="I40" s="3">
        <f t="shared" si="2"/>
        <v>2.4500000000000002</v>
      </c>
      <c r="J40" s="39">
        <v>1</v>
      </c>
      <c r="K40" s="33">
        <v>7</v>
      </c>
      <c r="L40" s="43" t="s">
        <v>160</v>
      </c>
    </row>
    <row r="41" spans="1:12" x14ac:dyDescent="0.35">
      <c r="B41" t="s">
        <v>93</v>
      </c>
      <c r="D41" t="s">
        <v>21</v>
      </c>
      <c r="E41" t="s">
        <v>94</v>
      </c>
      <c r="F41" s="15">
        <v>1</v>
      </c>
      <c r="G41" s="2" t="s">
        <v>92</v>
      </c>
      <c r="H41" s="3">
        <v>252</v>
      </c>
      <c r="I41" s="3">
        <f t="shared" si="2"/>
        <v>252</v>
      </c>
      <c r="K41" s="33"/>
      <c r="L41" s="43" t="s">
        <v>160</v>
      </c>
    </row>
    <row r="42" spans="1:12" x14ac:dyDescent="0.35">
      <c r="B42" t="s">
        <v>95</v>
      </c>
      <c r="D42" t="s">
        <v>21</v>
      </c>
      <c r="E42" t="s">
        <v>97</v>
      </c>
      <c r="F42" s="15">
        <v>1</v>
      </c>
      <c r="G42" s="2" t="s">
        <v>96</v>
      </c>
      <c r="H42" s="3">
        <v>14.95</v>
      </c>
      <c r="I42" s="3">
        <f t="shared" si="2"/>
        <v>14.95</v>
      </c>
      <c r="J42" s="39">
        <v>1</v>
      </c>
      <c r="K42" s="33">
        <v>15</v>
      </c>
      <c r="L42" s="43" t="s">
        <v>160</v>
      </c>
    </row>
    <row r="43" spans="1:12" x14ac:dyDescent="0.35">
      <c r="I43" s="3">
        <f>H43*F43</f>
        <v>0</v>
      </c>
      <c r="K43" s="33"/>
      <c r="L43" s="44"/>
    </row>
    <row r="44" spans="1:12" s="9" customFormat="1" x14ac:dyDescent="0.35">
      <c r="C44" s="16"/>
      <c r="F44" s="16"/>
      <c r="H44" s="10"/>
      <c r="I44" s="10">
        <f>H44*F44</f>
        <v>0</v>
      </c>
      <c r="J44" s="41"/>
      <c r="K44" s="34"/>
      <c r="L44" s="46"/>
    </row>
    <row r="45" spans="1:12" x14ac:dyDescent="0.35">
      <c r="A45" t="s">
        <v>45</v>
      </c>
      <c r="B45" t="s">
        <v>46</v>
      </c>
      <c r="D45" t="s">
        <v>20</v>
      </c>
      <c r="F45" s="15">
        <v>1</v>
      </c>
      <c r="I45" s="3">
        <f>(T3/1000)*L45</f>
        <v>1.36</v>
      </c>
      <c r="K45" s="33"/>
      <c r="L45" s="44">
        <v>85</v>
      </c>
    </row>
    <row r="46" spans="1:12" x14ac:dyDescent="0.35">
      <c r="B46" t="s">
        <v>47</v>
      </c>
      <c r="D46" t="s">
        <v>20</v>
      </c>
      <c r="F46" s="15">
        <v>1</v>
      </c>
      <c r="I46" s="3">
        <f>(T3/1000)*L46</f>
        <v>0.60799999999999998</v>
      </c>
      <c r="K46" s="33"/>
      <c r="L46" s="44">
        <v>38</v>
      </c>
    </row>
    <row r="47" spans="1:12" x14ac:dyDescent="0.35">
      <c r="B47" t="s">
        <v>48</v>
      </c>
      <c r="D47" t="s">
        <v>49</v>
      </c>
      <c r="F47" s="15">
        <v>1</v>
      </c>
      <c r="I47" s="3">
        <f t="shared" ref="I47:I53" si="3">H47*F47</f>
        <v>0</v>
      </c>
      <c r="J47" s="39">
        <v>1</v>
      </c>
      <c r="K47" s="33">
        <v>4</v>
      </c>
      <c r="L47" s="43" t="s">
        <v>160</v>
      </c>
    </row>
    <row r="48" spans="1:12" x14ac:dyDescent="0.35">
      <c r="B48" t="s">
        <v>153</v>
      </c>
      <c r="D48" t="s">
        <v>49</v>
      </c>
      <c r="F48" s="15">
        <v>4</v>
      </c>
      <c r="I48" s="3">
        <f t="shared" si="3"/>
        <v>0</v>
      </c>
      <c r="J48" s="39">
        <v>4</v>
      </c>
      <c r="K48" s="33">
        <v>16</v>
      </c>
      <c r="L48" s="43" t="s">
        <v>160</v>
      </c>
    </row>
    <row r="49" spans="1:11" x14ac:dyDescent="0.35">
      <c r="B49" t="s">
        <v>80</v>
      </c>
      <c r="D49" t="s">
        <v>21</v>
      </c>
      <c r="E49" t="s">
        <v>82</v>
      </c>
      <c r="F49" s="15">
        <v>8.7999999999999995E-2</v>
      </c>
      <c r="G49" t="s">
        <v>81</v>
      </c>
      <c r="H49">
        <v>82.94</v>
      </c>
      <c r="I49" s="3">
        <f t="shared" si="3"/>
        <v>7.2987199999999994</v>
      </c>
      <c r="J49" s="42" t="s">
        <v>159</v>
      </c>
      <c r="K49" s="33"/>
    </row>
    <row r="50" spans="1:11" x14ac:dyDescent="0.35">
      <c r="I50" s="3">
        <f t="shared" si="3"/>
        <v>0</v>
      </c>
      <c r="K50" s="33"/>
    </row>
    <row r="51" spans="1:11" x14ac:dyDescent="0.35">
      <c r="I51" s="3">
        <f t="shared" si="3"/>
        <v>0</v>
      </c>
      <c r="K51" s="33"/>
    </row>
    <row r="52" spans="1:11" x14ac:dyDescent="0.35">
      <c r="A52" t="s">
        <v>86</v>
      </c>
      <c r="C52" s="48" t="s">
        <v>30</v>
      </c>
      <c r="D52" t="s">
        <v>21</v>
      </c>
      <c r="E52" t="s">
        <v>88</v>
      </c>
      <c r="F52" s="15">
        <v>1</v>
      </c>
      <c r="G52" s="2" t="s">
        <v>87</v>
      </c>
      <c r="H52" s="3">
        <v>8.35</v>
      </c>
      <c r="I52" s="3">
        <f t="shared" si="3"/>
        <v>8.35</v>
      </c>
      <c r="J52" s="39">
        <v>1</v>
      </c>
      <c r="K52" s="33">
        <v>9</v>
      </c>
    </row>
    <row r="53" spans="1:11" x14ac:dyDescent="0.35">
      <c r="C53" s="48"/>
      <c r="D53" t="s">
        <v>21</v>
      </c>
      <c r="E53" t="s">
        <v>88</v>
      </c>
      <c r="F53" s="15">
        <v>0</v>
      </c>
      <c r="G53" s="2" t="s">
        <v>89</v>
      </c>
      <c r="H53" s="3">
        <v>8.99</v>
      </c>
      <c r="I53" s="3">
        <f t="shared" si="3"/>
        <v>0</v>
      </c>
      <c r="K53" s="33"/>
    </row>
    <row r="55" spans="1:11" x14ac:dyDescent="0.35">
      <c r="B55" t="s">
        <v>154</v>
      </c>
      <c r="I55" s="11">
        <f>SUM(I2:I53)</f>
        <v>417.69005333333337</v>
      </c>
    </row>
    <row r="56" spans="1:11" x14ac:dyDescent="0.35">
      <c r="B56" t="s">
        <v>155</v>
      </c>
    </row>
    <row r="57" spans="1:11" x14ac:dyDescent="0.35">
      <c r="B57" t="s">
        <v>156</v>
      </c>
    </row>
  </sheetData>
  <mergeCells count="8">
    <mergeCell ref="C52:C53"/>
    <mergeCell ref="C23:C24"/>
    <mergeCell ref="C27:C28"/>
    <mergeCell ref="C25:C26"/>
    <mergeCell ref="C4:C6"/>
    <mergeCell ref="C30:C31"/>
    <mergeCell ref="C33:C34"/>
    <mergeCell ref="C35:C36"/>
  </mergeCells>
  <hyperlinks>
    <hyperlink ref="G12" r:id="rId1" xr:uid="{00000000-0004-0000-0000-000000000000}"/>
    <hyperlink ref="G8" r:id="rId2" xr:uid="{00000000-0004-0000-0000-000001000000}"/>
    <hyperlink ref="G31" r:id="rId3" xr:uid="{00000000-0004-0000-0000-000004000000}"/>
    <hyperlink ref="G32" r:id="rId4" xr:uid="{00000000-0004-0000-0000-000005000000}"/>
    <hyperlink ref="G33" r:id="rId5" xr:uid="{00000000-0004-0000-0000-000006000000}"/>
    <hyperlink ref="G34" r:id="rId6" xr:uid="{00000000-0004-0000-0000-000007000000}"/>
    <hyperlink ref="G22" r:id="rId7" xr:uid="{00000000-0004-0000-0000-000008000000}"/>
    <hyperlink ref="G35" r:id="rId8" xr:uid="{00000000-0004-0000-0000-000009000000}"/>
    <hyperlink ref="G23" r:id="rId9" xr:uid="{00000000-0004-0000-0000-00000A000000}"/>
    <hyperlink ref="G27" r:id="rId10" xr:uid="{00000000-0004-0000-0000-00000B000000}"/>
    <hyperlink ref="G52" r:id="rId11" xr:uid="{00000000-0004-0000-0000-00000C000000}"/>
    <hyperlink ref="G53" r:id="rId12" xr:uid="{00000000-0004-0000-0000-00000D000000}"/>
    <hyperlink ref="G41" r:id="rId13" xr:uid="{00000000-0004-0000-0000-00000E000000}"/>
    <hyperlink ref="G42" r:id="rId14" location="open-modal-image-big-slider" xr:uid="{00000000-0004-0000-0000-000010000000}"/>
    <hyperlink ref="G39" r:id="rId15" xr:uid="{00000000-0004-0000-0000-000011000000}"/>
    <hyperlink ref="G3" r:id="rId16" xr:uid="{00000000-0004-0000-0000-000012000000}"/>
    <hyperlink ref="G4" r:id="rId17" xr:uid="{00000000-0004-0000-0000-000013000000}"/>
    <hyperlink ref="G26" r:id="rId18" display="https://www.conrad.de/de/p/joy-it-schrittmotor-nema-17-01-nema-17-01-0-4-nm-1-68-a-wellen-durchmesser-5-mm-1597325.html?&amp;utm_source=google&amp;utm_medium=cpc&amp;utm_campaign=DE%20-%20Search%20-%20Non%20Brand%20-%20Automation%20%26%20Pneumatik%20-%20Automatisierung&amp;utm_id=21558005894&amp;gad_source=1&amp;gclid=Cj0KCQjw2N2_BhCAARIsAK4pEkWSVnBVYnRRJ-W9qTYi3qIRUjKexzEopfI6WIt-6678PZvUtjZPFkkaAsLPEALw_wcB&amp;gclsrc=aw.ds" xr:uid="{00000000-0004-0000-0000-000015000000}"/>
    <hyperlink ref="G25" r:id="rId19" xr:uid="{00000000-0004-0000-0000-000016000000}"/>
    <hyperlink ref="G11" r:id="rId20" xr:uid="{00000000-0004-0000-0000-000017000000}"/>
    <hyperlink ref="G7" r:id="rId21" xr:uid="{00000000-0004-0000-0000-000018000000}"/>
    <hyperlink ref="G13" r:id="rId22" xr:uid="{00000000-0004-0000-0000-000019000000}"/>
    <hyperlink ref="G6" r:id="rId23" display="https://www.conrad.de/de/p/joy-it-ard-r3dip-p-mikrocontroller-arduino-r3dip-precision-uno-kompatible-3344408.html?insert_kz=VQ&amp;hk=SEM&amp;WT.mc_id=google_pla&amp;utm_source=google&amp;utm_medium=cpc&amp;utm_campaign=DE%20-%20PMAX%20-%20Nonbrand%20-%20Learning&amp;utm_id=20402606569&amp;gad_source=1&amp;gad_campaignid=20392975386&amp;gbraid=0AAAAAD1-3H5ZNEsw7Fu2If7_46kOpQL-k&amp;gclid=Cj0KCQjwzt_FBhCEARIsAJGFWVmwQ5TSFQtZQuE8C2Om1oFwht-PNSDvdk7oH8cZbDXbWikdQY0cX74aAgCuEALw_wcB" xr:uid="{00000000-0004-0000-0000-00001A000000}"/>
    <hyperlink ref="G36" r:id="rId24" xr:uid="{00000000-0004-0000-0000-00001B000000}"/>
    <hyperlink ref="G19" r:id="rId25" xr:uid="{00000000-0004-0000-0000-00001C000000}"/>
    <hyperlink ref="G20" r:id="rId26" xr:uid="{00000000-0004-0000-0000-00001D000000}"/>
  </hyperlinks>
  <pageMargins left="0.7" right="0.7" top="0.75" bottom="0.75" header="0.3" footer="0.3"/>
  <pageSetup paperSize="9" orientation="portrait" horizontalDpi="200" verticalDpi="200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>
      <selection activeCell="R20" sqref="R20"/>
    </sheetView>
  </sheetViews>
  <sheetFormatPr baseColWidth="10" defaultColWidth="5.26953125" defaultRowHeight="14.5" x14ac:dyDescent="0.35"/>
  <cols>
    <col min="1" max="1" width="21.1796875" customWidth="1"/>
  </cols>
  <sheetData>
    <row r="1" spans="1:19" x14ac:dyDescent="0.35">
      <c r="A1" s="18" t="s">
        <v>108</v>
      </c>
      <c r="B1" s="50" t="s">
        <v>109</v>
      </c>
      <c r="C1" s="51"/>
      <c r="D1" s="50" t="s">
        <v>114</v>
      </c>
      <c r="E1" s="52"/>
      <c r="F1" s="52"/>
      <c r="G1" s="52"/>
      <c r="H1" s="52"/>
      <c r="I1" s="52"/>
      <c r="J1" s="52"/>
      <c r="K1" s="51"/>
      <c r="L1" s="50" t="s">
        <v>124</v>
      </c>
      <c r="M1" s="52"/>
      <c r="N1" s="52"/>
      <c r="O1" s="52"/>
      <c r="P1" s="52"/>
      <c r="Q1" s="52"/>
      <c r="R1" s="52"/>
      <c r="S1" s="51"/>
    </row>
    <row r="2" spans="1:19" x14ac:dyDescent="0.35">
      <c r="A2" s="18" t="s">
        <v>110</v>
      </c>
      <c r="B2" s="21" t="s">
        <v>118</v>
      </c>
      <c r="C2" s="22" t="s">
        <v>117</v>
      </c>
      <c r="D2" s="21" t="s">
        <v>118</v>
      </c>
      <c r="E2" s="23" t="s">
        <v>118</v>
      </c>
      <c r="F2" s="23" t="s">
        <v>118</v>
      </c>
      <c r="G2" s="23" t="s">
        <v>118</v>
      </c>
      <c r="H2" s="23" t="s">
        <v>119</v>
      </c>
      <c r="I2" s="23" t="s">
        <v>119</v>
      </c>
      <c r="J2" s="23" t="s">
        <v>120</v>
      </c>
      <c r="K2" s="22" t="s">
        <v>117</v>
      </c>
      <c r="L2" s="21" t="s">
        <v>118</v>
      </c>
      <c r="M2" s="23" t="s">
        <v>118</v>
      </c>
      <c r="N2" s="23" t="s">
        <v>118</v>
      </c>
      <c r="O2" s="23" t="s">
        <v>119</v>
      </c>
      <c r="P2" s="23" t="s">
        <v>119</v>
      </c>
      <c r="Q2" s="23" t="s">
        <v>119</v>
      </c>
      <c r="R2" s="23" t="s">
        <v>120</v>
      </c>
      <c r="S2" s="22" t="s">
        <v>117</v>
      </c>
    </row>
    <row r="3" spans="1:19" s="9" customFormat="1" x14ac:dyDescent="0.35">
      <c r="A3" s="19" t="s">
        <v>111</v>
      </c>
      <c r="B3" s="26">
        <v>12</v>
      </c>
      <c r="C3" s="25"/>
      <c r="D3" s="26">
        <v>8</v>
      </c>
      <c r="E3" s="24">
        <v>10</v>
      </c>
      <c r="F3" s="24">
        <v>14</v>
      </c>
      <c r="G3" s="24">
        <v>16</v>
      </c>
      <c r="H3" s="24">
        <v>8</v>
      </c>
      <c r="I3" s="24">
        <v>16</v>
      </c>
      <c r="J3" s="24"/>
      <c r="K3" s="25"/>
      <c r="L3" s="26">
        <v>16</v>
      </c>
      <c r="M3" s="24">
        <v>20</v>
      </c>
      <c r="N3" s="24">
        <v>25</v>
      </c>
      <c r="O3" s="24">
        <v>10</v>
      </c>
      <c r="P3" s="24">
        <v>12</v>
      </c>
      <c r="Q3" s="24">
        <v>20</v>
      </c>
      <c r="R3" s="24"/>
      <c r="S3" s="25"/>
    </row>
    <row r="4" spans="1:19" x14ac:dyDescent="0.35">
      <c r="A4" s="20"/>
      <c r="B4" s="27"/>
      <c r="C4" s="20"/>
      <c r="D4" s="27"/>
      <c r="K4" s="20"/>
      <c r="L4" s="27"/>
      <c r="S4" s="20"/>
    </row>
    <row r="5" spans="1:19" x14ac:dyDescent="0.35">
      <c r="A5" s="20" t="s">
        <v>112</v>
      </c>
      <c r="B5" s="27">
        <v>2</v>
      </c>
      <c r="C5" s="20">
        <v>2</v>
      </c>
      <c r="D5" s="27"/>
      <c r="K5" s="20"/>
      <c r="L5" s="27"/>
      <c r="S5" s="20"/>
    </row>
    <row r="6" spans="1:19" x14ac:dyDescent="0.35">
      <c r="A6" s="20" t="s">
        <v>113</v>
      </c>
      <c r="B6" s="27">
        <v>2</v>
      </c>
      <c r="C6" s="20">
        <v>2</v>
      </c>
      <c r="D6" s="27"/>
      <c r="K6" s="20"/>
      <c r="L6" s="27"/>
      <c r="S6" s="20"/>
    </row>
    <row r="7" spans="1:19" x14ac:dyDescent="0.35">
      <c r="A7" s="20"/>
      <c r="B7" s="27"/>
      <c r="C7" s="20"/>
      <c r="D7" s="27"/>
      <c r="K7" s="20"/>
      <c r="L7" s="27"/>
      <c r="S7" s="20"/>
    </row>
    <row r="8" spans="1:19" x14ac:dyDescent="0.35">
      <c r="A8" s="20" t="s">
        <v>115</v>
      </c>
      <c r="B8" s="27"/>
      <c r="C8" s="20"/>
      <c r="D8" s="27">
        <v>4</v>
      </c>
      <c r="K8" s="20">
        <v>4</v>
      </c>
      <c r="L8" s="27"/>
      <c r="S8" s="20"/>
    </row>
    <row r="9" spans="1:19" x14ac:dyDescent="0.35">
      <c r="A9" s="20" t="s">
        <v>116</v>
      </c>
      <c r="B9" s="27"/>
      <c r="C9" s="20"/>
      <c r="D9" s="27"/>
      <c r="G9">
        <v>4</v>
      </c>
      <c r="J9">
        <v>4</v>
      </c>
      <c r="K9" s="20">
        <v>4</v>
      </c>
      <c r="L9" s="27"/>
      <c r="S9" s="20"/>
    </row>
    <row r="10" spans="1:19" x14ac:dyDescent="0.35">
      <c r="A10" s="20" t="s">
        <v>121</v>
      </c>
      <c r="B10" s="27"/>
      <c r="C10" s="20"/>
      <c r="D10" s="36">
        <v>4</v>
      </c>
      <c r="J10">
        <v>4</v>
      </c>
      <c r="K10" s="20"/>
      <c r="L10" s="27"/>
      <c r="S10" s="20"/>
    </row>
    <row r="11" spans="1:19" x14ac:dyDescent="0.35">
      <c r="A11" s="20" t="s">
        <v>122</v>
      </c>
      <c r="B11" s="27"/>
      <c r="C11" s="20"/>
      <c r="D11" s="27"/>
      <c r="F11">
        <v>2</v>
      </c>
      <c r="G11" s="37">
        <v>4</v>
      </c>
      <c r="I11">
        <v>4</v>
      </c>
      <c r="J11">
        <v>6</v>
      </c>
      <c r="K11" s="20">
        <v>6</v>
      </c>
      <c r="L11" s="27"/>
      <c r="S11" s="20"/>
    </row>
    <row r="12" spans="1:19" x14ac:dyDescent="0.35">
      <c r="A12" s="20" t="s">
        <v>123</v>
      </c>
      <c r="B12" s="27"/>
      <c r="C12" s="20"/>
      <c r="D12" s="27"/>
      <c r="H12">
        <v>3</v>
      </c>
      <c r="K12" s="20"/>
      <c r="L12" s="27"/>
      <c r="S12" s="20"/>
    </row>
    <row r="13" spans="1:19" x14ac:dyDescent="0.35">
      <c r="A13" s="20"/>
      <c r="B13" s="27"/>
      <c r="C13" s="20"/>
      <c r="D13" s="27"/>
      <c r="K13" s="20"/>
      <c r="L13" s="27"/>
      <c r="S13" s="20"/>
    </row>
    <row r="14" spans="1:19" x14ac:dyDescent="0.35">
      <c r="A14" s="20" t="s">
        <v>125</v>
      </c>
      <c r="B14" s="27"/>
      <c r="C14" s="20"/>
      <c r="D14" s="27">
        <v>2</v>
      </c>
      <c r="J14">
        <v>2</v>
      </c>
      <c r="K14" s="20">
        <v>2</v>
      </c>
      <c r="L14" s="27"/>
      <c r="O14">
        <v>2</v>
      </c>
      <c r="R14">
        <v>2</v>
      </c>
      <c r="S14" s="20">
        <v>2</v>
      </c>
    </row>
    <row r="15" spans="1:19" x14ac:dyDescent="0.35">
      <c r="A15" s="20" t="s">
        <v>126</v>
      </c>
      <c r="B15" s="27"/>
      <c r="C15" s="20"/>
      <c r="D15" s="27"/>
      <c r="K15" s="20"/>
      <c r="L15" s="27"/>
      <c r="Q15">
        <v>4</v>
      </c>
      <c r="S15" s="20">
        <v>4</v>
      </c>
    </row>
    <row r="16" spans="1:19" x14ac:dyDescent="0.35">
      <c r="A16" s="20" t="s">
        <v>127</v>
      </c>
      <c r="B16" s="27"/>
      <c r="C16" s="20"/>
      <c r="D16" s="27"/>
      <c r="K16" s="20"/>
      <c r="L16" s="27"/>
      <c r="N16">
        <v>8</v>
      </c>
      <c r="R16">
        <v>8</v>
      </c>
      <c r="S16" s="20">
        <v>8</v>
      </c>
    </row>
    <row r="17" spans="1:19" x14ac:dyDescent="0.35">
      <c r="A17" s="20" t="s">
        <v>128</v>
      </c>
      <c r="B17" s="27"/>
      <c r="C17" s="20"/>
      <c r="D17" s="27"/>
      <c r="K17" s="20"/>
      <c r="L17" s="27"/>
      <c r="P17">
        <v>4</v>
      </c>
      <c r="S17" s="20">
        <v>4</v>
      </c>
    </row>
    <row r="18" spans="1:19" x14ac:dyDescent="0.35">
      <c r="A18" s="20" t="s">
        <v>129</v>
      </c>
      <c r="B18" s="27"/>
      <c r="C18" s="20"/>
      <c r="D18" s="27"/>
      <c r="K18" s="20"/>
      <c r="L18" s="27">
        <v>2</v>
      </c>
      <c r="R18">
        <v>2</v>
      </c>
      <c r="S18" s="20">
        <v>2</v>
      </c>
    </row>
    <row r="19" spans="1:19" x14ac:dyDescent="0.35">
      <c r="A19" s="20" t="s">
        <v>130</v>
      </c>
      <c r="B19" s="27"/>
      <c r="C19" s="20"/>
      <c r="D19" s="27"/>
      <c r="K19" s="20"/>
      <c r="L19" s="27"/>
      <c r="M19">
        <v>2</v>
      </c>
      <c r="S19" s="20">
        <v>2</v>
      </c>
    </row>
    <row r="20" spans="1:19" x14ac:dyDescent="0.35">
      <c r="A20" s="20" t="s">
        <v>132</v>
      </c>
      <c r="B20" s="27"/>
      <c r="C20" s="20"/>
      <c r="D20" s="27"/>
      <c r="K20" s="20"/>
      <c r="L20" s="27"/>
      <c r="M20">
        <v>2</v>
      </c>
      <c r="S20" s="20">
        <v>2</v>
      </c>
    </row>
    <row r="21" spans="1:19" x14ac:dyDescent="0.35">
      <c r="A21" s="20" t="s">
        <v>131</v>
      </c>
      <c r="B21" s="27"/>
      <c r="C21" s="20"/>
      <c r="D21" s="27"/>
      <c r="K21" s="20"/>
      <c r="L21" s="27"/>
      <c r="Q21">
        <v>2</v>
      </c>
      <c r="S21" s="20">
        <v>2</v>
      </c>
    </row>
    <row r="22" spans="1:19" x14ac:dyDescent="0.35">
      <c r="A22" s="29"/>
      <c r="B22" s="30"/>
      <c r="C22" s="29"/>
      <c r="D22" s="30"/>
      <c r="E22" s="9"/>
      <c r="F22" s="9"/>
      <c r="G22" s="9"/>
      <c r="H22" s="9"/>
      <c r="I22" s="9"/>
      <c r="J22" s="9"/>
      <c r="K22" s="29"/>
      <c r="L22" s="30"/>
      <c r="M22" s="9"/>
      <c r="N22" s="9"/>
      <c r="O22" s="9"/>
      <c r="P22" s="9"/>
      <c r="Q22" s="9"/>
      <c r="R22" s="9"/>
      <c r="S22" s="29"/>
    </row>
    <row r="23" spans="1:19" x14ac:dyDescent="0.35">
      <c r="A23" s="18" t="s">
        <v>133</v>
      </c>
      <c r="B23" s="28">
        <f>SUM(B5:B21)</f>
        <v>4</v>
      </c>
      <c r="C23" s="18">
        <f t="shared" ref="C23:S23" si="0">SUM(C5:C21)</f>
        <v>4</v>
      </c>
      <c r="D23" s="28">
        <f t="shared" si="0"/>
        <v>10</v>
      </c>
      <c r="E23" s="1">
        <f t="shared" si="0"/>
        <v>0</v>
      </c>
      <c r="F23" s="1">
        <f t="shared" si="0"/>
        <v>2</v>
      </c>
      <c r="G23" s="1">
        <f t="shared" si="0"/>
        <v>8</v>
      </c>
      <c r="H23" s="1">
        <f t="shared" si="0"/>
        <v>3</v>
      </c>
      <c r="I23" s="1">
        <f t="shared" si="0"/>
        <v>4</v>
      </c>
      <c r="J23" s="1">
        <f t="shared" si="0"/>
        <v>16</v>
      </c>
      <c r="K23" s="18">
        <f t="shared" si="0"/>
        <v>16</v>
      </c>
      <c r="L23" s="28">
        <f t="shared" si="0"/>
        <v>2</v>
      </c>
      <c r="M23" s="1">
        <f t="shared" si="0"/>
        <v>4</v>
      </c>
      <c r="N23" s="1">
        <f t="shared" si="0"/>
        <v>8</v>
      </c>
      <c r="O23" s="1">
        <f t="shared" si="0"/>
        <v>2</v>
      </c>
      <c r="P23" s="1">
        <f t="shared" si="0"/>
        <v>4</v>
      </c>
      <c r="Q23" s="1">
        <f t="shared" si="0"/>
        <v>6</v>
      </c>
      <c r="R23" s="1">
        <f t="shared" si="0"/>
        <v>12</v>
      </c>
      <c r="S23" s="18">
        <f t="shared" si="0"/>
        <v>26</v>
      </c>
    </row>
    <row r="24" spans="1:19" x14ac:dyDescent="0.35">
      <c r="A24" s="20"/>
      <c r="B24" s="27"/>
      <c r="C24" s="20"/>
      <c r="D24" s="27"/>
      <c r="K24" s="20"/>
      <c r="L24" s="27"/>
      <c r="S24" s="20"/>
    </row>
    <row r="27" spans="1:19" x14ac:dyDescent="0.35">
      <c r="B27" s="1" t="s">
        <v>118</v>
      </c>
      <c r="C27" s="1" t="s">
        <v>134</v>
      </c>
    </row>
    <row r="28" spans="1:19" x14ac:dyDescent="0.35">
      <c r="B28" s="1" t="s">
        <v>119</v>
      </c>
      <c r="C28" s="1" t="s">
        <v>135</v>
      </c>
      <c r="D28" s="1"/>
    </row>
    <row r="29" spans="1:19" x14ac:dyDescent="0.35">
      <c r="B29" s="1" t="s">
        <v>120</v>
      </c>
      <c r="C29" s="1" t="s">
        <v>136</v>
      </c>
      <c r="D29" s="1"/>
    </row>
    <row r="30" spans="1:19" x14ac:dyDescent="0.35">
      <c r="B30" s="1" t="s">
        <v>117</v>
      </c>
      <c r="C30" s="1" t="s">
        <v>137</v>
      </c>
      <c r="D30" s="1"/>
    </row>
    <row r="31" spans="1:19" x14ac:dyDescent="0.35">
      <c r="D31" s="1"/>
    </row>
  </sheetData>
  <mergeCells count="3">
    <mergeCell ref="B1:C1"/>
    <mergeCell ref="D1:K1"/>
    <mergeCell ref="L1:S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Entomoscope 3.0 Parts</vt:lpstr>
      <vt:lpstr>Fasteners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Wührl</dc:creator>
  <cp:lastModifiedBy>Böse, Nick Eric (IAI)</cp:lastModifiedBy>
  <dcterms:created xsi:type="dcterms:W3CDTF">2015-06-05T18:19:34Z</dcterms:created>
  <dcterms:modified xsi:type="dcterms:W3CDTF">2026-01-28T14:20:40Z</dcterms:modified>
</cp:coreProperties>
</file>